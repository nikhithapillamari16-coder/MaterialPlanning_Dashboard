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KHITHA DOCS\Power BI\"/>
    </mc:Choice>
  </mc:AlternateContent>
  <xr:revisionPtr revIDLastSave="0" documentId="8_{E98CC40C-461B-496C-98A0-D60A3F1A3AAB}" xr6:coauthVersionLast="47" xr6:coauthVersionMax="47" xr10:uidLastSave="{00000000-0000-0000-0000-000000000000}"/>
  <bookViews>
    <workbookView xWindow="-108" yWindow="-108" windowWidth="23256" windowHeight="12456" xr2:uid="{5563BBAD-78B0-44F0-98BF-E10A60E7A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<sst xmlns="http://schemas.openxmlformats.org/spreadsheetml/2006/main" count="40" uniqueCount="38">
  <si>
    <t>SKU</t>
  </si>
  <si>
    <t>Material_Description</t>
  </si>
  <si>
    <t>Inventory_Qty</t>
  </si>
  <si>
    <t>Lead_Time_Days</t>
  </si>
  <si>
    <t>Unit_Cost</t>
  </si>
  <si>
    <t>Supplier</t>
  </si>
  <si>
    <t>Open_PO_Qty</t>
  </si>
  <si>
    <t>Days_Since_Last_Receipt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</si>
  <si>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</si>
  <si>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</si>
  <si>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</si>
  <si>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</si>
  <si>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</si>
  <si>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</si>
  <si>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</si>
  <si>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</si>
  <si>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</si>
  <si>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</si>
  <si>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Formers</t>
  </si>
  <si>
    <t>Motors</t>
  </si>
  <si>
    <t>Latches</t>
  </si>
  <si>
    <t>Yearly_Demand</t>
  </si>
  <si>
    <t>03K Bearings</t>
  </si>
  <si>
    <t>Bushings</t>
  </si>
  <si>
    <t>Connectors</t>
  </si>
  <si>
    <t>Wires</t>
  </si>
  <si>
    <t>Nylon material</t>
  </si>
  <si>
    <t>Washers</t>
  </si>
  <si>
    <t>Rivets</t>
  </si>
  <si>
    <t>Florida Space</t>
  </si>
  <si>
    <t>Barnes</t>
  </si>
  <si>
    <t>Chrome Plus</t>
  </si>
  <si>
    <t>BDSI</t>
  </si>
  <si>
    <t>AVMATS</t>
  </si>
  <si>
    <t>Express</t>
  </si>
  <si>
    <t>Aero</t>
  </si>
  <si>
    <t>MFC</t>
  </si>
  <si>
    <t>PO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</si>
</sst>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8" fontId="0" fillId="0" borderId="0" xfId="0" applyNumberFormat="1"/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BA78-0DC7-496D-84C4-10171AB2404F}">
  <dimension ref="A1:J11"/>
  <sheetViews>
    <sheetView tabSelected="1" workbookViewId="0">
      <selection sqref="A1:J11"/>
    </sheetView>
  </sheetViews>
  <sheetFormatPr defaultRowHeight="14.4" x14ac:dyDescent="0.3"/>
  <cols>
    <col min="2" max="2" width="17.77734375" bestFit="1" customWidth="1"/>
    <col min="3" max="3" width="15.77734375" customWidth="1"/>
    <col min="4" max="4" width="15.33203125" customWidth="1"/>
    <col min="5" max="5" width="14.33203125" bestFit="1" customWidth="1"/>
    <col min="6" max="6" width="10.109375" style="2" customWidth="1"/>
    <col min="7" max="7" width="11.88671875" bestFit="1" customWidth="1"/>
    <col min="8" max="8" width="12.88671875" customWidth="1"/>
    <col min="9" max="9" width="23.44140625" customWidth="1"/>
  </cols>
  <sheetData>
    <row r="1" spans="1:10" s="1" customFormat="1" x14ac:dyDescent="0.3">
      <c r="A1" s="3" t="s">
        <v>0</v>
      </c>
      <c r="B1" s="3" t="s">
        <v>1</v>
      </c>
      <c r="C1" s="3" t="s">
        <v>2</v>
      </c>
      <c r="D1" s="3" t="s">
        <v>21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37</v>
      </c>
    </row>
    <row r="2" spans="1:10" x14ac:dyDescent="0.3">
      <c r="A2" s="5" t="s">
        <v>8</v>
      </c>
      <c r="B2" s="5" t="s">
        <v>18</v>
      </c>
      <c r="C2" s="5">
        <v>31</v>
      </c>
      <c r="D2" s="5">
        <v>120</v>
      </c>
      <c r="E2" s="5">
        <v>25</v>
      </c>
      <c r="F2" s="6">
        <v>50</v>
      </c>
      <c r="G2" s="5" t="s">
        <v>29</v>
      </c>
      <c r="H2" s="5">
        <v>40</v>
      </c>
      <c r="I2" s="5">
        <v>20</v>
      </c>
      <c r="J2" s="5" t="str">
        <f>IF( H2&gt;=0, "OPEN", "CLOSED")</f>
        <v>OPEN</v>
      </c>
    </row>
    <row r="3" spans="1:10" x14ac:dyDescent="0.3">
      <c r="A3" s="5" t="s">
        <v>9</v>
      </c>
      <c r="B3" s="5" t="s">
        <v>19</v>
      </c>
      <c r="C3" s="5">
        <v>10</v>
      </c>
      <c r="D3" s="5">
        <v>60</v>
      </c>
      <c r="E3" s="5">
        <v>60</v>
      </c>
      <c r="F3" s="6">
        <v>100</v>
      </c>
      <c r="G3" s="5" t="s">
        <v>31</v>
      </c>
      <c r="H3" s="5">
        <v>25</v>
      </c>
      <c r="I3" s="5">
        <v>45</v>
      </c>
      <c r="J3" s="5" t="str">
        <f t="shared" ref="J3:J11" si="0">IF( H3&gt;=0, "OPEN", "CLOSED")</f>
        <v>OPEN</v>
      </c>
    </row>
    <row r="4" spans="1:10" x14ac:dyDescent="0.3">
      <c r="A4" s="5" t="s">
        <v>10</v>
      </c>
      <c r="B4" s="5" t="s">
        <v>22</v>
      </c>
      <c r="C4" s="5">
        <v>15</v>
      </c>
      <c r="D4" s="5">
        <v>30</v>
      </c>
      <c r="E4" s="5">
        <v>75</v>
      </c>
      <c r="F4" s="6">
        <v>1000</v>
      </c>
      <c r="G4" s="5" t="s">
        <v>30</v>
      </c>
      <c r="H4" s="5">
        <v>10</v>
      </c>
      <c r="I4" s="5">
        <v>60</v>
      </c>
      <c r="J4" s="5" t="str">
        <f t="shared" si="0"/>
        <v>OPEN</v>
      </c>
    </row>
    <row r="5" spans="1:10" x14ac:dyDescent="0.3">
      <c r="A5" s="5" t="s">
        <v>11</v>
      </c>
      <c r="B5" s="5" t="s">
        <v>23</v>
      </c>
      <c r="C5" s="5">
        <v>52</v>
      </c>
      <c r="D5" s="5">
        <v>150</v>
      </c>
      <c r="E5" s="5">
        <v>45</v>
      </c>
      <c r="F5" s="6">
        <v>30</v>
      </c>
      <c r="G5" s="5" t="s">
        <v>32</v>
      </c>
      <c r="H5" s="5">
        <v>5</v>
      </c>
      <c r="I5" s="5">
        <v>15</v>
      </c>
      <c r="J5" s="5" t="str">
        <f t="shared" si="0"/>
        <v>OPEN</v>
      </c>
    </row>
    <row r="6" spans="1:10" x14ac:dyDescent="0.3">
      <c r="A6" s="5" t="s">
        <v>12</v>
      </c>
      <c r="B6" s="5" t="s">
        <v>20</v>
      </c>
      <c r="C6" s="5">
        <v>25</v>
      </c>
      <c r="D6" s="5">
        <v>80</v>
      </c>
      <c r="E6" s="5">
        <v>62</v>
      </c>
      <c r="F6" s="6">
        <v>58</v>
      </c>
      <c r="G6" s="5" t="s">
        <v>36</v>
      </c>
      <c r="H6" s="5">
        <v>30</v>
      </c>
      <c r="I6" s="5">
        <v>35</v>
      </c>
      <c r="J6" s="5" t="str">
        <f t="shared" si="0"/>
        <v>OPEN</v>
      </c>
    </row>
    <row r="7" spans="1:10" x14ac:dyDescent="0.3">
      <c r="A7" s="5" t="s">
        <v>13</v>
      </c>
      <c r="B7" s="5" t="s">
        <v>24</v>
      </c>
      <c r="C7" s="5">
        <v>78</v>
      </c>
      <c r="D7" s="5">
        <v>300</v>
      </c>
      <c r="E7" s="5">
        <v>14</v>
      </c>
      <c r="F7" s="6">
        <v>15</v>
      </c>
      <c r="G7" s="5" t="s">
        <v>32</v>
      </c>
      <c r="H7" s="5">
        <v>60</v>
      </c>
      <c r="I7" s="5">
        <v>10</v>
      </c>
      <c r="J7" s="5" t="str">
        <f t="shared" si="0"/>
        <v>OPEN</v>
      </c>
    </row>
    <row r="8" spans="1:10" x14ac:dyDescent="0.3">
      <c r="A8" s="5" t="s">
        <v>14</v>
      </c>
      <c r="B8" s="5" t="s">
        <v>25</v>
      </c>
      <c r="C8" s="5">
        <v>65</v>
      </c>
      <c r="D8" s="5">
        <v>500</v>
      </c>
      <c r="E8" s="5">
        <v>7</v>
      </c>
      <c r="F8" s="6">
        <v>2</v>
      </c>
      <c r="G8" s="5" t="s">
        <v>35</v>
      </c>
      <c r="H8" s="5">
        <v>100</v>
      </c>
      <c r="I8" s="5">
        <v>5</v>
      </c>
      <c r="J8" s="5" t="str">
        <f t="shared" si="0"/>
        <v>OPEN</v>
      </c>
    </row>
    <row r="9" spans="1:10" x14ac:dyDescent="0.3">
      <c r="A9" s="5" t="s">
        <v>15</v>
      </c>
      <c r="B9" s="5" t="s">
        <v>26</v>
      </c>
      <c r="C9" s="5">
        <v>35</v>
      </c>
      <c r="D9" s="5">
        <v>200</v>
      </c>
      <c r="E9" s="5">
        <v>12</v>
      </c>
      <c r="F9" s="6">
        <v>5</v>
      </c>
      <c r="G9" s="5" t="s">
        <v>34</v>
      </c>
      <c r="H9" s="5">
        <v>75</v>
      </c>
      <c r="I9" s="5">
        <v>12</v>
      </c>
      <c r="J9" s="5" t="str">
        <f t="shared" si="0"/>
        <v>OPEN</v>
      </c>
    </row>
    <row r="10" spans="1:10" x14ac:dyDescent="0.3">
      <c r="A10" s="5" t="s">
        <v>16</v>
      </c>
      <c r="B10" s="5" t="s">
        <v>27</v>
      </c>
      <c r="C10" s="5">
        <v>150</v>
      </c>
      <c r="D10" s="5">
        <v>1000</v>
      </c>
      <c r="E10" s="5">
        <v>8</v>
      </c>
      <c r="F10" s="6">
        <v>4</v>
      </c>
      <c r="G10" s="5" t="s">
        <v>33</v>
      </c>
      <c r="H10" s="5">
        <v>200</v>
      </c>
      <c r="I10" s="5">
        <v>3</v>
      </c>
      <c r="J10" s="5" t="str">
        <f t="shared" si="0"/>
        <v>OPEN</v>
      </c>
    </row>
    <row r="11" spans="1:10" x14ac:dyDescent="0.3">
      <c r="A11" s="5" t="s">
        <v>17</v>
      </c>
      <c r="B11" s="5" t="s">
        <v>28</v>
      </c>
      <c r="C11" s="5">
        <v>500</v>
      </c>
      <c r="D11" s="5">
        <v>1500</v>
      </c>
      <c r="E11" s="5">
        <v>9</v>
      </c>
      <c r="F11" s="6">
        <v>1.5</v>
      </c>
      <c r="G11" s="5" t="s">
        <v>32</v>
      </c>
      <c r="H11" s="5">
        <v>300</v>
      </c>
      <c r="I11" s="5">
        <v>2</v>
      </c>
      <c r="J11" s="5" t="str">
        <f t="shared" si="0"/>
        <v>OPEN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Nikhitha Pillamari</dc:creator>
  <cp:lastModifiedBy>Nikhitha Pillamari</cp:lastModifiedBy>
  <dcterms:created xsi:type="dcterms:W3CDTF">2026-04-08T18:19:44Z</dcterms:created>
  <dcterms:modified xsi:type="dcterms:W3CDTF">2026-04-08T18:39:06Z</dcterms:modified>
</cp:coreProperties>
</file>